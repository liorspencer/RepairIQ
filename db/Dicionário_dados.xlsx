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Julio\RepairIQ\db\"/>
    </mc:Choice>
  </mc:AlternateContent>
  <xr:revisionPtr revIDLastSave="0" documentId="13_ncr:1_{B40DCD31-F8C2-414D-8A37-9E8038D363ED}" xr6:coauthVersionLast="36" xr6:coauthVersionMax="47" xr10:uidLastSave="{00000000-0000-0000-0000-000000000000}"/>
  <bookViews>
    <workbookView xWindow="5040" yWindow="2520" windowWidth="10320" windowHeight="5025" firstSheet="3" activeTab="5" xr2:uid="{00000000-000D-0000-FFFF-FFFF00000000}"/>
  </bookViews>
  <sheets>
    <sheet name="Relacionamento" sheetId="4" r:id="rId1"/>
    <sheet name="EQUIPAMENTO" sheetId="1" r:id="rId2"/>
    <sheet name="ORDEM DE SEV." sheetId="13" r:id="rId3"/>
    <sheet name="OCORRENCIA" sheetId="14" r:id="rId4"/>
    <sheet name="FUNCIONARIO" sheetId="15" r:id="rId5"/>
    <sheet name="GRUPO FUNCIONARIO" sheetId="16" r:id="rId6"/>
    <sheet name="NOTIFICACAO" sheetId="18" r:id="rId7"/>
    <sheet name="REGISTRO AUDITORIA" sheetId="19" r:id="rId8"/>
    <sheet name="PREDITIVA IA" sheetId="20" r:id="rId9"/>
    <sheet name="MODELO ORDEM SERVICO" sheetId="21" r:id="rId10"/>
  </sheets>
  <calcPr calcId="191029"/>
</workbook>
</file>

<file path=xl/calcChain.xml><?xml version="1.0" encoding="utf-8"?>
<calcChain xmlns="http://schemas.openxmlformats.org/spreadsheetml/2006/main">
  <c r="B15" i="16" l="1"/>
</calcChain>
</file>

<file path=xl/sharedStrings.xml><?xml version="1.0" encoding="utf-8"?>
<sst xmlns="http://schemas.openxmlformats.org/spreadsheetml/2006/main" count="370" uniqueCount="156">
  <si>
    <t>Relacionamento</t>
  </si>
  <si>
    <t>ENTIDADES/Relacionamento</t>
  </si>
  <si>
    <t>Entidade</t>
  </si>
  <si>
    <t>Nome do Relacionamento</t>
  </si>
  <si>
    <t>Descrição</t>
  </si>
  <si>
    <t xml:space="preserve">ATRIBUTOS </t>
  </si>
  <si>
    <t>Atributo</t>
  </si>
  <si>
    <t>Tipo de dados</t>
  </si>
  <si>
    <t>Comprimento</t>
  </si>
  <si>
    <t xml:space="preserve">Restrições </t>
  </si>
  <si>
    <t>EQUIPAMENTO</t>
  </si>
  <si>
    <t>ORDEM DE SERVICO</t>
  </si>
  <si>
    <t>PREDITIVA</t>
  </si>
  <si>
    <t>possui</t>
  </si>
  <si>
    <t>ORDEM SERVICO</t>
  </si>
  <si>
    <t>FUNCIONARIO</t>
  </si>
  <si>
    <t>OCORRENCIA</t>
  </si>
  <si>
    <t>NOTIFICACAO</t>
  </si>
  <si>
    <t>abrir</t>
  </si>
  <si>
    <t>contem</t>
  </si>
  <si>
    <t>REGISTRO AUDITORIA</t>
  </si>
  <si>
    <t>GRUPO FUNCIONARIO</t>
  </si>
  <si>
    <t>PREDITIVA IA</t>
  </si>
  <si>
    <t>recebe</t>
  </si>
  <si>
    <t>registra</t>
  </si>
  <si>
    <t>pertence</t>
  </si>
  <si>
    <t>gera</t>
  </si>
  <si>
    <t>ANALISE IA</t>
  </si>
  <si>
    <t>associa</t>
  </si>
  <si>
    <t>gera analise</t>
  </si>
  <si>
    <t>MODELO ORDEM SERVICO</t>
  </si>
  <si>
    <t>modela</t>
  </si>
  <si>
    <t>Gera manutenção</t>
  </si>
  <si>
    <t>É gerada algum tipo de manutenção</t>
  </si>
  <si>
    <t>Executa as manutenções, conforme são passadas</t>
  </si>
  <si>
    <t>Recebe notificações sobre manutenção</t>
  </si>
  <si>
    <t>É a formalização sobre o tipo de manutenção</t>
  </si>
  <si>
    <t>É feita sobre as atividades realizadas</t>
  </si>
  <si>
    <t>É realizada para gerar a CBM e TBM</t>
  </si>
  <si>
    <t>Gera o tipo de ordem de serviço</t>
  </si>
  <si>
    <t>Direciona para atividade diaria</t>
  </si>
  <si>
    <t>id</t>
  </si>
  <si>
    <t>nome</t>
  </si>
  <si>
    <t>tipo</t>
  </si>
  <si>
    <t>numero_serie</t>
  </si>
  <si>
    <t>localizacao</t>
  </si>
  <si>
    <t>data_aquisicao</t>
  </si>
  <si>
    <t>status</t>
  </si>
  <si>
    <t>int</t>
  </si>
  <si>
    <t>varchar</t>
  </si>
  <si>
    <t>boolean</t>
  </si>
  <si>
    <t>char</t>
  </si>
  <si>
    <t>10 bytes</t>
  </si>
  <si>
    <t>2 bytes</t>
  </si>
  <si>
    <t>not null</t>
  </si>
  <si>
    <t>nome do equipamento</t>
  </si>
  <si>
    <t>tipo do equipamento</t>
  </si>
  <si>
    <t>numero_serie do equipamento</t>
  </si>
  <si>
    <t>localizacao do equipamento</t>
  </si>
  <si>
    <t>data_aquisicao do equipamento</t>
  </si>
  <si>
    <t>status do equipamento</t>
  </si>
  <si>
    <t>data_abertura</t>
  </si>
  <si>
    <t>data_fechamento</t>
  </si>
  <si>
    <t>prioridade</t>
  </si>
  <si>
    <t>descricao</t>
  </si>
  <si>
    <t>date</t>
  </si>
  <si>
    <t>20 bytes</t>
  </si>
  <si>
    <t>FK not null</t>
  </si>
  <si>
    <t>data_abertura da ordem de serviço</t>
  </si>
  <si>
    <t>data_fechamento da ordem de serviço</t>
  </si>
  <si>
    <t>prioridade da ordem de serviço</t>
  </si>
  <si>
    <t>status da ordem de serviço</t>
  </si>
  <si>
    <t>descricao da ordem de serviço</t>
  </si>
  <si>
    <t>data_ocorrencia</t>
  </si>
  <si>
    <t>status da ocorrencia</t>
  </si>
  <si>
    <t>descrição da ocorrencia</t>
  </si>
  <si>
    <t>data da ocorrencia</t>
  </si>
  <si>
    <t>Total de bytes da tabela: 37 bytes</t>
  </si>
  <si>
    <t xml:space="preserve">nome </t>
  </si>
  <si>
    <t>senha</t>
  </si>
  <si>
    <t>login</t>
  </si>
  <si>
    <t>nome do funcionario</t>
  </si>
  <si>
    <t>login do funcionario</t>
  </si>
  <si>
    <t>senha do funcionario</t>
  </si>
  <si>
    <t>Total de bytes da tabela: 129 bytes</t>
  </si>
  <si>
    <t>nome_grupo</t>
  </si>
  <si>
    <t>descricoes</t>
  </si>
  <si>
    <t>permicoes</t>
  </si>
  <si>
    <t>4 bytes</t>
  </si>
  <si>
    <t>chave primaria com auto incremento</t>
  </si>
  <si>
    <t>chave estrangeira ocorrencia da ordem de serviço</t>
  </si>
  <si>
    <t>chave estrangeira modelo ordem servico da ordem de serviço</t>
  </si>
  <si>
    <t xml:space="preserve">nome do grupo </t>
  </si>
  <si>
    <t>descriçoes do grupo</t>
  </si>
  <si>
    <t>permiçoes do grupo</t>
  </si>
  <si>
    <t>data_envio</t>
  </si>
  <si>
    <t>mensagem</t>
  </si>
  <si>
    <t>lida</t>
  </si>
  <si>
    <t xml:space="preserve">data de envio </t>
  </si>
  <si>
    <t>mensagem de notificação</t>
  </si>
  <si>
    <t>se foi lida ao ser entregue</t>
  </si>
  <si>
    <t>tipo de O.S</t>
  </si>
  <si>
    <t>60 bytes</t>
  </si>
  <si>
    <t>acao</t>
  </si>
  <si>
    <t>data_acao</t>
  </si>
  <si>
    <t>detalhes</t>
  </si>
  <si>
    <t>Descrição principal da ação tomada</t>
  </si>
  <si>
    <t>detalhamento do registro</t>
  </si>
  <si>
    <t>FK_ORDEM_SERVICO_id</t>
  </si>
  <si>
    <t>chave estrangeira de identificação da O.S</t>
  </si>
  <si>
    <t>FK_GRUPO_FUNCIONARIO_id</t>
  </si>
  <si>
    <t>chave estrangeira de indentificação do grupo de funcionário</t>
  </si>
  <si>
    <t>chave estrangeira de indentificação do grupo da O.S</t>
  </si>
  <si>
    <t>data da ação realizada</t>
  </si>
  <si>
    <t>dados_os_proposta</t>
  </si>
  <si>
    <t>status_aprovacao</t>
  </si>
  <si>
    <t>chave primaria comauto incremento</t>
  </si>
  <si>
    <t>text</t>
  </si>
  <si>
    <t>dados da OS proposta (json)</t>
  </si>
  <si>
    <t>status da proposta</t>
  </si>
  <si>
    <t>FK_equipamento_id</t>
  </si>
  <si>
    <t>FK_modelo_ordem_servico_id</t>
  </si>
  <si>
    <t>FK_ocorrencia_id</t>
  </si>
  <si>
    <t>chave estrangeira do equipamento</t>
  </si>
  <si>
    <t>Total de bytes da tabela: 86 bytes</t>
  </si>
  <si>
    <t>Total de bytes da tabela: 64 bytes</t>
  </si>
  <si>
    <t>modelo</t>
  </si>
  <si>
    <t>chave primaria do modelo da O.S</t>
  </si>
  <si>
    <t>define o modelo da O.S</t>
  </si>
  <si>
    <t xml:space="preserve"> </t>
  </si>
  <si>
    <t>Total de bytes da tabela: 3004 bytes</t>
  </si>
  <si>
    <t>Total de bytes da tabela:3006 bytes</t>
  </si>
  <si>
    <t>FK_ordem_servico_id</t>
  </si>
  <si>
    <t>chave estrangeira de grupo dos funcionarios</t>
  </si>
  <si>
    <t>chave estrangeira de ordem de serviços</t>
  </si>
  <si>
    <t>FK_funcionario_id</t>
  </si>
  <si>
    <t>chave estrangeira de funcionarios</t>
  </si>
  <si>
    <t>FK_equipamentos_id</t>
  </si>
  <si>
    <t>chave estrangeira de equipamentos</t>
  </si>
  <si>
    <t>Total de bytes da tabela: 124 bytes</t>
  </si>
  <si>
    <t>Total de bytes da tabela:</t>
  </si>
  <si>
    <t>ativo</t>
  </si>
  <si>
    <t>300 bytes</t>
  </si>
  <si>
    <t>datetime</t>
  </si>
  <si>
    <t>8 bytes</t>
  </si>
  <si>
    <t>50 bytes</t>
  </si>
  <si>
    <t>status do funcionario</t>
  </si>
  <si>
    <t>FK</t>
  </si>
  <si>
    <t>tinyint</t>
  </si>
  <si>
    <t>100 bytes</t>
  </si>
  <si>
    <t>1 byte</t>
  </si>
  <si>
    <t>conteudo</t>
  </si>
  <si>
    <t>65535 bytes</t>
  </si>
  <si>
    <t>conteúdo da ordem de serviço</t>
  </si>
  <si>
    <t>Total de bytes da tabela: 317 bytes</t>
  </si>
  <si>
    <t>PK AUTO_INCREMENT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</si>
</sst>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3" borderId="11" xfId="0" applyFont="1" applyFill="1" applyBorder="1" applyAlignment="1">
      <alignment horizontal="center" vertical="center" shrinkToFi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left" vertical="center" shrinkToFit="1"/>
    </xf>
    <xf numFmtId="0" fontId="0" fillId="0" borderId="1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horizontal="left" vertical="center" shrinkToFi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shrinkToFi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2" xfId="0" applyBorder="1" applyAlignment="1">
      <alignment horizontal="left" vertical="center" shrinkToFit="1"/>
    </xf>
    <xf numFmtId="0" fontId="0" fillId="0" borderId="19" xfId="0" applyBorder="1" applyAlignment="1">
      <alignment horizontal="left" vertical="center" shrinkToFit="1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4" borderId="19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9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22" xfId="0" applyBorder="1" applyAlignment="1">
      <alignment vertical="center" shrinkToFit="1"/>
    </xf>
    <xf numFmtId="3" fontId="0" fillId="0" borderId="19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selection activeCell="G13" sqref="G13"/>
    </sheetView>
  </sheetViews>
  <sheetFormatPr defaultRowHeight="15" x14ac:dyDescent="0.25"/>
  <cols>
    <col min="1" max="1" width="25.140625" style="1" customWidth="1"/>
    <col min="2" max="2" width="25.140625" style="20" customWidth="1"/>
    <col min="3" max="3" width="21.85546875" customWidth="1"/>
    <col min="4" max="4" width="56.85546875" style="20" customWidth="1"/>
    <col min="6" max="6" width="21.7109375" customWidth="1"/>
    <col min="7" max="7" width="29.5703125" customWidth="1"/>
  </cols>
  <sheetData>
    <row r="1" spans="1:4" x14ac:dyDescent="0.25">
      <c r="A1" s="1" t="s">
        <v>0</v>
      </c>
    </row>
    <row r="3" spans="1:4" ht="15" customHeight="1" x14ac:dyDescent="0.25">
      <c r="A3" s="43" t="s">
        <v>1</v>
      </c>
      <c r="B3" s="44"/>
      <c r="C3" s="44"/>
      <c r="D3" s="44"/>
    </row>
    <row r="4" spans="1:4" ht="15" customHeight="1" x14ac:dyDescent="0.25">
      <c r="A4" s="45"/>
      <c r="B4" s="46"/>
      <c r="C4" s="46"/>
      <c r="D4" s="46"/>
    </row>
    <row r="5" spans="1:4" ht="30" x14ac:dyDescent="0.25">
      <c r="A5" s="21" t="s">
        <v>2</v>
      </c>
      <c r="B5" s="2" t="s">
        <v>0</v>
      </c>
      <c r="C5" s="3" t="s">
        <v>3</v>
      </c>
      <c r="D5" s="3" t="s">
        <v>4</v>
      </c>
    </row>
    <row r="6" spans="1:4" x14ac:dyDescent="0.25">
      <c r="A6" s="40" t="s">
        <v>10</v>
      </c>
      <c r="B6" s="22" t="s">
        <v>11</v>
      </c>
      <c r="C6" s="22" t="s">
        <v>13</v>
      </c>
      <c r="D6" s="35" t="s">
        <v>32</v>
      </c>
    </row>
    <row r="7" spans="1:4" x14ac:dyDescent="0.25">
      <c r="A7" s="42"/>
      <c r="B7" s="22" t="s">
        <v>12</v>
      </c>
      <c r="C7" s="22" t="s">
        <v>13</v>
      </c>
      <c r="D7" s="37"/>
    </row>
    <row r="8" spans="1:4" x14ac:dyDescent="0.25">
      <c r="A8" s="40" t="s">
        <v>14</v>
      </c>
      <c r="B8" s="22" t="s">
        <v>30</v>
      </c>
      <c r="C8" s="23" t="s">
        <v>31</v>
      </c>
      <c r="D8" s="35" t="s">
        <v>40</v>
      </c>
    </row>
    <row r="9" spans="1:4" x14ac:dyDescent="0.25">
      <c r="A9" s="41"/>
      <c r="B9" s="22" t="s">
        <v>10</v>
      </c>
      <c r="C9" s="23" t="s">
        <v>13</v>
      </c>
      <c r="D9" s="36"/>
    </row>
    <row r="10" spans="1:4" x14ac:dyDescent="0.25">
      <c r="A10" s="41"/>
      <c r="B10" s="22" t="s">
        <v>15</v>
      </c>
      <c r="C10" s="23" t="s">
        <v>18</v>
      </c>
      <c r="D10" s="36"/>
    </row>
    <row r="11" spans="1:4" x14ac:dyDescent="0.25">
      <c r="A11" s="41"/>
      <c r="B11" s="22" t="s">
        <v>16</v>
      </c>
      <c r="C11" s="23" t="s">
        <v>19</v>
      </c>
      <c r="D11" s="36"/>
    </row>
    <row r="12" spans="1:4" x14ac:dyDescent="0.25">
      <c r="A12" s="42"/>
      <c r="B12" s="22" t="s">
        <v>17</v>
      </c>
      <c r="C12" s="22" t="s">
        <v>13</v>
      </c>
      <c r="D12" s="37"/>
    </row>
    <row r="13" spans="1:4" x14ac:dyDescent="0.25">
      <c r="A13" s="40" t="s">
        <v>16</v>
      </c>
      <c r="B13" s="35" t="s">
        <v>11</v>
      </c>
      <c r="C13" s="35" t="s">
        <v>19</v>
      </c>
      <c r="D13" s="35" t="s">
        <v>33</v>
      </c>
    </row>
    <row r="14" spans="1:4" x14ac:dyDescent="0.25">
      <c r="A14" s="42"/>
      <c r="B14" s="37"/>
      <c r="C14" s="37"/>
      <c r="D14" s="37"/>
    </row>
    <row r="15" spans="1:4" x14ac:dyDescent="0.25">
      <c r="A15" s="40" t="s">
        <v>15</v>
      </c>
      <c r="B15" s="24" t="s">
        <v>11</v>
      </c>
      <c r="C15" s="22" t="s">
        <v>18</v>
      </c>
      <c r="D15" s="35" t="s">
        <v>34</v>
      </c>
    </row>
    <row r="16" spans="1:4" x14ac:dyDescent="0.25">
      <c r="A16" s="41"/>
      <c r="B16" s="24" t="s">
        <v>17</v>
      </c>
      <c r="C16" s="22" t="s">
        <v>23</v>
      </c>
      <c r="D16" s="36"/>
    </row>
    <row r="17" spans="1:4" x14ac:dyDescent="0.25">
      <c r="A17" s="41"/>
      <c r="B17" s="24" t="s">
        <v>20</v>
      </c>
      <c r="C17" s="22" t="s">
        <v>24</v>
      </c>
      <c r="D17" s="36"/>
    </row>
    <row r="18" spans="1:4" x14ac:dyDescent="0.25">
      <c r="A18" s="41"/>
      <c r="B18" s="24" t="s">
        <v>21</v>
      </c>
      <c r="C18" s="22" t="s">
        <v>25</v>
      </c>
      <c r="D18" s="36"/>
    </row>
    <row r="19" spans="1:4" x14ac:dyDescent="0.25">
      <c r="A19" s="42"/>
      <c r="B19" s="24" t="s">
        <v>22</v>
      </c>
      <c r="C19" s="22" t="s">
        <v>26</v>
      </c>
      <c r="D19" s="37"/>
    </row>
    <row r="20" spans="1:4" x14ac:dyDescent="0.25">
      <c r="A20" s="40" t="s">
        <v>21</v>
      </c>
      <c r="B20" s="35" t="s">
        <v>15</v>
      </c>
      <c r="C20" s="35" t="s">
        <v>25</v>
      </c>
      <c r="D20" s="35" t="s">
        <v>35</v>
      </c>
    </row>
    <row r="21" spans="1:4" x14ac:dyDescent="0.25">
      <c r="A21" s="42"/>
      <c r="B21" s="37"/>
      <c r="C21" s="37"/>
      <c r="D21" s="37"/>
    </row>
    <row r="22" spans="1:4" x14ac:dyDescent="0.25">
      <c r="A22" s="38" t="s">
        <v>17</v>
      </c>
      <c r="B22" s="24" t="s">
        <v>15</v>
      </c>
      <c r="C22" s="22" t="s">
        <v>23</v>
      </c>
      <c r="D22" s="35" t="s">
        <v>36</v>
      </c>
    </row>
    <row r="23" spans="1:4" x14ac:dyDescent="0.25">
      <c r="A23" s="38"/>
      <c r="B23" s="24" t="s">
        <v>11</v>
      </c>
      <c r="C23" s="22" t="s">
        <v>18</v>
      </c>
      <c r="D23" s="37"/>
    </row>
    <row r="24" spans="1:4" x14ac:dyDescent="0.25">
      <c r="A24" s="25" t="s">
        <v>20</v>
      </c>
      <c r="B24" s="24" t="s">
        <v>15</v>
      </c>
      <c r="C24" s="22" t="s">
        <v>24</v>
      </c>
      <c r="D24" s="22" t="s">
        <v>37</v>
      </c>
    </row>
    <row r="25" spans="1:4" x14ac:dyDescent="0.25">
      <c r="A25" s="35" t="s">
        <v>12</v>
      </c>
      <c r="B25" s="24"/>
      <c r="C25" s="22"/>
      <c r="D25" s="35" t="s">
        <v>38</v>
      </c>
    </row>
    <row r="26" spans="1:4" x14ac:dyDescent="0.25">
      <c r="A26" s="36"/>
      <c r="B26" s="24" t="s">
        <v>10</v>
      </c>
      <c r="C26" s="22" t="s">
        <v>28</v>
      </c>
      <c r="D26" s="36"/>
    </row>
    <row r="27" spans="1:4" x14ac:dyDescent="0.25">
      <c r="A27" s="36"/>
      <c r="B27" s="22" t="s">
        <v>27</v>
      </c>
      <c r="C27" s="22" t="s">
        <v>29</v>
      </c>
      <c r="D27" s="36"/>
    </row>
    <row r="28" spans="1:4" x14ac:dyDescent="0.25">
      <c r="A28" s="37"/>
      <c r="B28" s="22" t="s">
        <v>15</v>
      </c>
      <c r="C28" s="22" t="s">
        <v>26</v>
      </c>
      <c r="D28" s="37"/>
    </row>
    <row r="29" spans="1:4" x14ac:dyDescent="0.25">
      <c r="A29" s="38" t="s">
        <v>30</v>
      </c>
      <c r="B29" s="24" t="s">
        <v>11</v>
      </c>
      <c r="C29" s="22" t="s">
        <v>31</v>
      </c>
      <c r="D29" s="39" t="s">
        <v>39</v>
      </c>
    </row>
    <row r="30" spans="1:4" x14ac:dyDescent="0.25">
      <c r="A30" s="38"/>
      <c r="B30" s="24"/>
      <c r="C30" s="22"/>
      <c r="D30" s="39"/>
    </row>
    <row r="31" spans="1:4" x14ac:dyDescent="0.25">
      <c r="A31" s="25"/>
      <c r="B31" s="24"/>
      <c r="C31" s="22"/>
      <c r="D31" s="22" t="s">
        <v>129</v>
      </c>
    </row>
    <row r="32" spans="1:4" x14ac:dyDescent="0.25">
      <c r="A32" s="25"/>
      <c r="B32" s="24"/>
      <c r="C32" s="22"/>
      <c r="D32" s="22"/>
    </row>
    <row r="33" spans="1:4" x14ac:dyDescent="0.25">
      <c r="A33" s="25"/>
      <c r="B33" s="24"/>
      <c r="C33" s="22"/>
      <c r="D33" s="22"/>
    </row>
  </sheetData>
  <mergeCells count="21">
    <mergeCell ref="A3:D4"/>
    <mergeCell ref="A6:A7"/>
    <mergeCell ref="A13:A14"/>
    <mergeCell ref="A8:A12"/>
    <mergeCell ref="D13:D14"/>
    <mergeCell ref="D6:D7"/>
    <mergeCell ref="D8:D12"/>
    <mergeCell ref="D15:D19"/>
    <mergeCell ref="A29:A30"/>
    <mergeCell ref="D29:D30"/>
    <mergeCell ref="B13:B14"/>
    <mergeCell ref="C13:C14"/>
    <mergeCell ref="A15:A19"/>
    <mergeCell ref="B20:B21"/>
    <mergeCell ref="C20:C21"/>
    <mergeCell ref="A25:A28"/>
    <mergeCell ref="A20:A21"/>
    <mergeCell ref="D20:D21"/>
    <mergeCell ref="A22:A23"/>
    <mergeCell ref="D22:D23"/>
    <mergeCell ref="D25:D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5"/>
  <sheetViews>
    <sheetView showGridLines="0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42</v>
      </c>
      <c r="B7" s="10" t="s">
        <v>49</v>
      </c>
      <c r="C7" s="4" t="s">
        <v>145</v>
      </c>
      <c r="D7" s="12" t="s">
        <v>54</v>
      </c>
      <c r="E7" s="11" t="s">
        <v>55</v>
      </c>
    </row>
    <row r="8" spans="1:5" x14ac:dyDescent="0.25">
      <c r="A8" s="18" t="s">
        <v>43</v>
      </c>
      <c r="B8" s="10" t="s">
        <v>49</v>
      </c>
      <c r="C8" s="4" t="s">
        <v>145</v>
      </c>
      <c r="D8" s="12" t="s">
        <v>54</v>
      </c>
      <c r="E8" s="11" t="s">
        <v>56</v>
      </c>
    </row>
    <row r="9" spans="1:5" x14ac:dyDescent="0.25">
      <c r="A9" s="18" t="s">
        <v>44</v>
      </c>
      <c r="B9" s="10" t="s">
        <v>49</v>
      </c>
      <c r="C9" s="4" t="s">
        <v>149</v>
      </c>
      <c r="D9" s="12"/>
      <c r="E9" s="11" t="s">
        <v>57</v>
      </c>
    </row>
    <row r="10" spans="1:5" x14ac:dyDescent="0.25">
      <c r="A10" s="19" t="s">
        <v>45</v>
      </c>
      <c r="B10" s="10" t="s">
        <v>49</v>
      </c>
      <c r="C10" s="4" t="s">
        <v>149</v>
      </c>
      <c r="D10" s="12"/>
      <c r="E10" s="11" t="s">
        <v>58</v>
      </c>
    </row>
    <row r="11" spans="1:5" ht="15.75" thickBot="1" x14ac:dyDescent="0.3">
      <c r="A11" s="13" t="s">
        <v>46</v>
      </c>
      <c r="B11" s="14" t="s">
        <v>143</v>
      </c>
      <c r="C11" s="15" t="s">
        <v>144</v>
      </c>
      <c r="D11" s="16" t="s">
        <v>54</v>
      </c>
      <c r="E11" s="17" t="s">
        <v>59</v>
      </c>
    </row>
    <row r="12" spans="1:5" x14ac:dyDescent="0.25">
      <c r="A12" s="18" t="s">
        <v>141</v>
      </c>
      <c r="B12" s="10" t="s">
        <v>50</v>
      </c>
      <c r="C12" s="4" t="s">
        <v>150</v>
      </c>
      <c r="D12" s="12" t="s">
        <v>54</v>
      </c>
      <c r="E12" s="11" t="s">
        <v>60</v>
      </c>
    </row>
    <row r="13" spans="1:5" ht="30" x14ac:dyDescent="0.25">
      <c r="A13" s="19" t="s">
        <v>108</v>
      </c>
      <c r="B13" s="10" t="s">
        <v>48</v>
      </c>
      <c r="C13" s="4" t="s">
        <v>88</v>
      </c>
      <c r="D13" s="12" t="s">
        <v>54</v>
      </c>
      <c r="E13" s="11" t="s">
        <v>109</v>
      </c>
    </row>
    <row r="14" spans="1:5" x14ac:dyDescent="0.25">
      <c r="A14" s="27"/>
      <c r="B14" s="27"/>
      <c r="C14" s="28"/>
      <c r="D14" s="29"/>
      <c r="E14" s="29"/>
    </row>
    <row r="15" spans="1:5" x14ac:dyDescent="0.25">
      <c r="A15" t="s">
        <v>154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BBEF-BD9B-4A8C-8432-8D2206564E70}">
  <dimension ref="A2:E17"/>
  <sheetViews>
    <sheetView showGridLines="0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61</v>
      </c>
      <c r="B7" s="10" t="s">
        <v>143</v>
      </c>
      <c r="C7" s="4" t="s">
        <v>144</v>
      </c>
      <c r="D7" s="12"/>
      <c r="E7" s="11" t="s">
        <v>68</v>
      </c>
    </row>
    <row r="8" spans="1:5" ht="30" x14ac:dyDescent="0.25">
      <c r="A8" s="18" t="s">
        <v>62</v>
      </c>
      <c r="B8" s="10" t="s">
        <v>143</v>
      </c>
      <c r="C8" s="4" t="s">
        <v>144</v>
      </c>
      <c r="D8" s="12"/>
      <c r="E8" s="11" t="s">
        <v>69</v>
      </c>
    </row>
    <row r="9" spans="1:5" x14ac:dyDescent="0.25">
      <c r="A9" s="18" t="s">
        <v>63</v>
      </c>
      <c r="B9" s="10" t="s">
        <v>148</v>
      </c>
      <c r="C9" s="4" t="s">
        <v>150</v>
      </c>
      <c r="D9" s="12" t="s">
        <v>54</v>
      </c>
      <c r="E9" s="11" t="s">
        <v>70</v>
      </c>
    </row>
    <row r="10" spans="1:5" x14ac:dyDescent="0.25">
      <c r="A10" s="19" t="s">
        <v>47</v>
      </c>
      <c r="B10" s="10" t="s">
        <v>148</v>
      </c>
      <c r="C10" s="4" t="s">
        <v>150</v>
      </c>
      <c r="D10" s="12" t="s">
        <v>54</v>
      </c>
      <c r="E10" s="11" t="s">
        <v>71</v>
      </c>
    </row>
    <row r="11" spans="1:5" ht="15.75" thickBot="1" x14ac:dyDescent="0.3">
      <c r="A11" s="13" t="s">
        <v>64</v>
      </c>
      <c r="B11" s="14" t="s">
        <v>49</v>
      </c>
      <c r="C11" s="15" t="s">
        <v>142</v>
      </c>
      <c r="D11" s="16" t="s">
        <v>54</v>
      </c>
      <c r="E11" s="17" t="s">
        <v>72</v>
      </c>
    </row>
    <row r="12" spans="1:5" x14ac:dyDescent="0.25">
      <c r="A12" s="53" t="s">
        <v>151</v>
      </c>
      <c r="B12" s="31" t="s">
        <v>117</v>
      </c>
      <c r="C12" s="54" t="s">
        <v>152</v>
      </c>
      <c r="D12" s="33"/>
      <c r="E12" s="34" t="s">
        <v>153</v>
      </c>
    </row>
    <row r="13" spans="1:5" ht="30" x14ac:dyDescent="0.25">
      <c r="A13" s="19" t="s">
        <v>122</v>
      </c>
      <c r="B13" s="10" t="s">
        <v>48</v>
      </c>
      <c r="C13" s="4" t="s">
        <v>88</v>
      </c>
      <c r="D13" s="12" t="s">
        <v>147</v>
      </c>
      <c r="E13" s="11" t="s">
        <v>90</v>
      </c>
    </row>
    <row r="14" spans="1:5" ht="30.75" thickBot="1" x14ac:dyDescent="0.3">
      <c r="A14" s="13" t="s">
        <v>121</v>
      </c>
      <c r="B14" s="14" t="s">
        <v>48</v>
      </c>
      <c r="C14" s="15" t="s">
        <v>88</v>
      </c>
      <c r="D14" s="16" t="s">
        <v>67</v>
      </c>
      <c r="E14" s="17" t="s">
        <v>91</v>
      </c>
    </row>
    <row r="15" spans="1:5" ht="15.75" thickBot="1" x14ac:dyDescent="0.3">
      <c r="A15" s="13" t="s">
        <v>120</v>
      </c>
      <c r="B15" s="14" t="s">
        <v>48</v>
      </c>
      <c r="C15" s="15" t="s">
        <v>88</v>
      </c>
      <c r="D15" s="16" t="s">
        <v>147</v>
      </c>
      <c r="E15" s="17" t="s">
        <v>123</v>
      </c>
    </row>
    <row r="16" spans="1:5" x14ac:dyDescent="0.25">
      <c r="A16" s="26"/>
      <c r="B16" s="27"/>
      <c r="C16" s="28"/>
      <c r="D16" s="29"/>
      <c r="E16" s="29"/>
    </row>
    <row r="17" spans="1:1" x14ac:dyDescent="0.25">
      <c r="A17" t="s">
        <v>124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A7E5-FCE4-4DFF-83C5-450AC61A4F77}">
  <dimension ref="A2:E14"/>
  <sheetViews>
    <sheetView showGridLines="0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ht="19.5" customHeight="1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64</v>
      </c>
      <c r="B7" s="10" t="s">
        <v>117</v>
      </c>
      <c r="C7" s="4" t="s">
        <v>66</v>
      </c>
      <c r="D7" s="12" t="s">
        <v>54</v>
      </c>
      <c r="E7" s="11" t="s">
        <v>75</v>
      </c>
    </row>
    <row r="8" spans="1:5" x14ac:dyDescent="0.25">
      <c r="A8" s="18" t="s">
        <v>47</v>
      </c>
      <c r="B8" s="10" t="s">
        <v>50</v>
      </c>
      <c r="C8" s="4" t="s">
        <v>53</v>
      </c>
      <c r="D8" s="12" t="s">
        <v>54</v>
      </c>
      <c r="E8" s="11" t="s">
        <v>74</v>
      </c>
    </row>
    <row r="9" spans="1:5" x14ac:dyDescent="0.25">
      <c r="A9" s="18" t="s">
        <v>73</v>
      </c>
      <c r="B9" s="10" t="s">
        <v>65</v>
      </c>
      <c r="C9" s="4" t="s">
        <v>52</v>
      </c>
      <c r="D9" s="12" t="s">
        <v>54</v>
      </c>
      <c r="E9" s="11" t="s">
        <v>76</v>
      </c>
    </row>
    <row r="10" spans="1:5" x14ac:dyDescent="0.25">
      <c r="A10" s="19"/>
      <c r="B10" s="10"/>
      <c r="C10" s="4"/>
      <c r="D10" s="12"/>
      <c r="E10" s="11"/>
    </row>
    <row r="11" spans="1:5" ht="15.75" thickBot="1" x14ac:dyDescent="0.3">
      <c r="A11" s="13"/>
      <c r="B11" s="14"/>
      <c r="C11" s="15"/>
      <c r="D11" s="16"/>
      <c r="E11" s="17"/>
    </row>
    <row r="14" spans="1:5" x14ac:dyDescent="0.25">
      <c r="A14" t="s">
        <v>77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0020-624B-4BDA-ADDE-27A9BE674302}">
  <dimension ref="A2:E14"/>
  <sheetViews>
    <sheetView showGridLines="0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78</v>
      </c>
      <c r="B7" s="10" t="s">
        <v>49</v>
      </c>
      <c r="C7" s="4">
        <v>40</v>
      </c>
      <c r="D7" s="12" t="s">
        <v>54</v>
      </c>
      <c r="E7" s="11" t="s">
        <v>81</v>
      </c>
    </row>
    <row r="8" spans="1:5" x14ac:dyDescent="0.25">
      <c r="A8" s="18" t="s">
        <v>80</v>
      </c>
      <c r="B8" s="10" t="s">
        <v>49</v>
      </c>
      <c r="C8" s="4">
        <v>50</v>
      </c>
      <c r="D8" s="12" t="s">
        <v>54</v>
      </c>
      <c r="E8" s="11" t="s">
        <v>82</v>
      </c>
    </row>
    <row r="9" spans="1:5" x14ac:dyDescent="0.25">
      <c r="A9" s="18" t="s">
        <v>79</v>
      </c>
      <c r="B9" s="10" t="s">
        <v>51</v>
      </c>
      <c r="C9" s="4">
        <v>60</v>
      </c>
      <c r="D9" s="12" t="s">
        <v>54</v>
      </c>
      <c r="E9" s="11" t="s">
        <v>83</v>
      </c>
    </row>
    <row r="10" spans="1:5" x14ac:dyDescent="0.25">
      <c r="A10" s="19" t="s">
        <v>141</v>
      </c>
      <c r="B10" s="10" t="s">
        <v>50</v>
      </c>
      <c r="C10" s="4">
        <v>1</v>
      </c>
      <c r="D10" s="12" t="s">
        <v>54</v>
      </c>
      <c r="E10" s="11" t="s">
        <v>146</v>
      </c>
    </row>
    <row r="11" spans="1:5" ht="15.75" thickBot="1" x14ac:dyDescent="0.3">
      <c r="A11" s="13"/>
      <c r="B11" s="14"/>
      <c r="C11" s="15"/>
      <c r="D11" s="16"/>
      <c r="E11" s="17"/>
    </row>
    <row r="14" spans="1:5" x14ac:dyDescent="0.25">
      <c r="A14" t="s">
        <v>84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A963-2C1D-4687-9999-1631C8AB029C}">
  <dimension ref="A2:E15"/>
  <sheetViews>
    <sheetView showGridLines="0" tabSelected="1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>
        <v>4</v>
      </c>
      <c r="D6" s="4" t="s">
        <v>155</v>
      </c>
      <c r="E6" s="11" t="s">
        <v>89</v>
      </c>
    </row>
    <row r="7" spans="1:5" x14ac:dyDescent="0.25">
      <c r="A7" s="18" t="s">
        <v>85</v>
      </c>
      <c r="B7" s="10" t="s">
        <v>49</v>
      </c>
      <c r="C7" s="4">
        <v>30</v>
      </c>
      <c r="D7" s="12" t="s">
        <v>54</v>
      </c>
      <c r="E7" s="11" t="s">
        <v>92</v>
      </c>
    </row>
    <row r="8" spans="1:5" x14ac:dyDescent="0.25">
      <c r="A8" s="18" t="s">
        <v>86</v>
      </c>
      <c r="B8" s="10" t="s">
        <v>49</v>
      </c>
      <c r="C8" s="4">
        <v>3000</v>
      </c>
      <c r="D8" s="12" t="s">
        <v>54</v>
      </c>
      <c r="E8" s="11" t="s">
        <v>93</v>
      </c>
    </row>
    <row r="9" spans="1:5" x14ac:dyDescent="0.25">
      <c r="A9" s="18" t="s">
        <v>87</v>
      </c>
      <c r="B9" s="10" t="s">
        <v>49</v>
      </c>
      <c r="C9" s="4">
        <v>20</v>
      </c>
      <c r="D9" s="12" t="s">
        <v>54</v>
      </c>
      <c r="E9" s="11" t="s">
        <v>94</v>
      </c>
    </row>
    <row r="10" spans="1:5" ht="30" x14ac:dyDescent="0.25">
      <c r="A10" s="19" t="s">
        <v>110</v>
      </c>
      <c r="B10" s="10" t="s">
        <v>48</v>
      </c>
      <c r="C10" s="4">
        <v>4</v>
      </c>
      <c r="D10" s="12" t="s">
        <v>54</v>
      </c>
      <c r="E10" s="11" t="s">
        <v>111</v>
      </c>
    </row>
    <row r="11" spans="1:5" ht="30" x14ac:dyDescent="0.25">
      <c r="A11" s="30" t="s">
        <v>108</v>
      </c>
      <c r="B11" s="31" t="s">
        <v>48</v>
      </c>
      <c r="C11" s="32">
        <v>4</v>
      </c>
      <c r="D11" s="33" t="s">
        <v>54</v>
      </c>
      <c r="E11" s="34" t="s">
        <v>112</v>
      </c>
    </row>
    <row r="12" spans="1:5" ht="15.75" thickBot="1" x14ac:dyDescent="0.3">
      <c r="A12" s="13"/>
      <c r="B12" s="14"/>
      <c r="C12" s="15"/>
      <c r="D12" s="16"/>
      <c r="E12" s="17"/>
    </row>
    <row r="15" spans="1:5" x14ac:dyDescent="0.25">
      <c r="A15" t="s">
        <v>140</v>
      </c>
      <c r="B15">
        <f>SUM(C6:C11)</f>
        <v>3062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738D-FFB8-4002-B690-DDD9DD0099E6}">
  <dimension ref="A2:E15"/>
  <sheetViews>
    <sheetView showGridLines="0" zoomScale="115" zoomScaleNormal="115" workbookViewId="0">
      <selection activeCell="E6" sqref="E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95</v>
      </c>
      <c r="B7" s="10" t="s">
        <v>143</v>
      </c>
      <c r="C7" s="4" t="s">
        <v>144</v>
      </c>
      <c r="D7" s="12" t="s">
        <v>54</v>
      </c>
      <c r="E7" s="11" t="s">
        <v>98</v>
      </c>
    </row>
    <row r="8" spans="1:5" x14ac:dyDescent="0.25">
      <c r="A8" s="18" t="s">
        <v>96</v>
      </c>
      <c r="B8" s="10" t="s">
        <v>49</v>
      </c>
      <c r="C8" s="4" t="s">
        <v>102</v>
      </c>
      <c r="D8" s="12" t="s">
        <v>54</v>
      </c>
      <c r="E8" s="11" t="s">
        <v>99</v>
      </c>
    </row>
    <row r="9" spans="1:5" x14ac:dyDescent="0.25">
      <c r="A9" s="18" t="s">
        <v>97</v>
      </c>
      <c r="B9" s="10" t="s">
        <v>50</v>
      </c>
      <c r="C9" s="4" t="s">
        <v>150</v>
      </c>
      <c r="D9" s="12" t="s">
        <v>54</v>
      </c>
      <c r="E9" s="11" t="s">
        <v>100</v>
      </c>
    </row>
    <row r="10" spans="1:5" x14ac:dyDescent="0.25">
      <c r="A10" s="19" t="s">
        <v>43</v>
      </c>
      <c r="B10" s="10" t="s">
        <v>49</v>
      </c>
      <c r="C10" s="4" t="s">
        <v>66</v>
      </c>
      <c r="D10" s="12" t="s">
        <v>54</v>
      </c>
      <c r="E10" s="11" t="s">
        <v>101</v>
      </c>
    </row>
    <row r="11" spans="1:5" ht="30" x14ac:dyDescent="0.25">
      <c r="A11" s="30" t="s">
        <v>135</v>
      </c>
      <c r="B11" s="31" t="s">
        <v>48</v>
      </c>
      <c r="C11" s="32" t="s">
        <v>88</v>
      </c>
      <c r="D11" s="33" t="s">
        <v>67</v>
      </c>
      <c r="E11" s="34" t="s">
        <v>133</v>
      </c>
    </row>
    <row r="12" spans="1:5" ht="30.75" thickBot="1" x14ac:dyDescent="0.3">
      <c r="A12" s="13" t="s">
        <v>132</v>
      </c>
      <c r="B12" s="14" t="s">
        <v>48</v>
      </c>
      <c r="C12" s="15" t="s">
        <v>88</v>
      </c>
      <c r="D12" s="16" t="s">
        <v>147</v>
      </c>
      <c r="E12" s="17" t="s">
        <v>134</v>
      </c>
    </row>
    <row r="15" spans="1:5" x14ac:dyDescent="0.25">
      <c r="A15" t="s">
        <v>139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B43B-219C-42AB-BE10-211BABFEA47E}">
  <dimension ref="A2:E14"/>
  <sheetViews>
    <sheetView showGridLines="0" zoomScale="115" zoomScaleNormal="115" workbookViewId="0">
      <selection activeCell="D6" sqref="D6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89</v>
      </c>
    </row>
    <row r="7" spans="1:5" x14ac:dyDescent="0.25">
      <c r="A7" s="18" t="s">
        <v>103</v>
      </c>
      <c r="B7" s="10" t="s">
        <v>49</v>
      </c>
      <c r="C7" s="4" t="s">
        <v>145</v>
      </c>
      <c r="D7" s="12" t="s">
        <v>54</v>
      </c>
      <c r="E7" s="11" t="s">
        <v>106</v>
      </c>
    </row>
    <row r="8" spans="1:5" x14ac:dyDescent="0.25">
      <c r="A8" s="18" t="s">
        <v>104</v>
      </c>
      <c r="B8" s="10" t="s">
        <v>143</v>
      </c>
      <c r="C8" s="4" t="s">
        <v>144</v>
      </c>
      <c r="D8" s="12" t="s">
        <v>54</v>
      </c>
      <c r="E8" s="11" t="s">
        <v>113</v>
      </c>
    </row>
    <row r="9" spans="1:5" x14ac:dyDescent="0.25">
      <c r="A9" s="18" t="s">
        <v>105</v>
      </c>
      <c r="B9" s="10" t="s">
        <v>49</v>
      </c>
      <c r="C9" s="4" t="s">
        <v>142</v>
      </c>
      <c r="D9" s="12" t="s">
        <v>54</v>
      </c>
      <c r="E9" s="11" t="s">
        <v>107</v>
      </c>
    </row>
    <row r="10" spans="1:5" x14ac:dyDescent="0.25">
      <c r="A10" s="19" t="s">
        <v>135</v>
      </c>
      <c r="B10" s="10" t="s">
        <v>48</v>
      </c>
      <c r="C10" s="4" t="s">
        <v>88</v>
      </c>
      <c r="D10" s="12" t="s">
        <v>67</v>
      </c>
      <c r="E10" s="11" t="s">
        <v>136</v>
      </c>
    </row>
    <row r="11" spans="1:5" ht="15.75" thickBot="1" x14ac:dyDescent="0.3">
      <c r="A11" s="13"/>
      <c r="B11" s="14"/>
      <c r="C11" s="15"/>
      <c r="D11" s="16"/>
      <c r="E11" s="17"/>
    </row>
    <row r="14" spans="1:5" x14ac:dyDescent="0.25">
      <c r="A14" t="s">
        <v>125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FBC6-0858-4A1B-A759-12C96CA85BF8}">
  <dimension ref="A2:E14"/>
  <sheetViews>
    <sheetView showGridLines="0" zoomScale="115" zoomScaleNormal="115" workbookViewId="0">
      <selection activeCell="C10" sqref="C10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116</v>
      </c>
    </row>
    <row r="7" spans="1:5" x14ac:dyDescent="0.25">
      <c r="A7" s="18" t="s">
        <v>114</v>
      </c>
      <c r="B7" s="10" t="s">
        <v>117</v>
      </c>
      <c r="C7" s="55" t="s">
        <v>152</v>
      </c>
      <c r="D7" s="12" t="s">
        <v>54</v>
      </c>
      <c r="E7" s="11" t="s">
        <v>118</v>
      </c>
    </row>
    <row r="8" spans="1:5" x14ac:dyDescent="0.25">
      <c r="A8" s="18" t="s">
        <v>115</v>
      </c>
      <c r="B8" s="10" t="s">
        <v>148</v>
      </c>
      <c r="C8" s="4" t="s">
        <v>150</v>
      </c>
      <c r="D8" s="12" t="s">
        <v>54</v>
      </c>
      <c r="E8" s="11" t="s">
        <v>119</v>
      </c>
    </row>
    <row r="9" spans="1:5" x14ac:dyDescent="0.25">
      <c r="A9" s="18" t="s">
        <v>137</v>
      </c>
      <c r="B9" s="10" t="s">
        <v>48</v>
      </c>
      <c r="C9" s="4" t="s">
        <v>88</v>
      </c>
      <c r="D9" s="12" t="s">
        <v>67</v>
      </c>
      <c r="E9" s="11" t="s">
        <v>138</v>
      </c>
    </row>
    <row r="10" spans="1:5" x14ac:dyDescent="0.25">
      <c r="A10" s="19"/>
      <c r="B10" s="10"/>
      <c r="C10" s="4"/>
      <c r="D10" s="12"/>
      <c r="E10" s="11"/>
    </row>
    <row r="11" spans="1:5" ht="15.75" thickBot="1" x14ac:dyDescent="0.3">
      <c r="A11" s="13"/>
      <c r="B11" s="14"/>
      <c r="C11" s="15"/>
      <c r="D11" s="16"/>
      <c r="E11" s="17"/>
    </row>
    <row r="14" spans="1:5" x14ac:dyDescent="0.25">
      <c r="A14" t="s">
        <v>131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5D63-DE72-4DA9-8FB6-ADFBA61B1A7F}">
  <dimension ref="A2:E14"/>
  <sheetViews>
    <sheetView showGridLines="0" zoomScaleNormal="100" workbookViewId="0">
      <selection activeCell="C8" sqref="C8"/>
    </sheetView>
  </sheetViews>
  <sheetFormatPr defaultRowHeight="15" x14ac:dyDescent="0.25"/>
  <cols>
    <col min="1" max="1" width="30.42578125" customWidth="1"/>
    <col min="2" max="2" width="15.42578125" customWidth="1"/>
    <col min="3" max="3" width="14.28515625" customWidth="1"/>
    <col min="4" max="4" width="29.140625" customWidth="1"/>
    <col min="5" max="5" width="35.28515625" customWidth="1"/>
  </cols>
  <sheetData>
    <row r="2" spans="1:5" ht="15.75" thickBot="1" x14ac:dyDescent="0.3"/>
    <row r="3" spans="1:5" x14ac:dyDescent="0.25">
      <c r="A3" s="47" t="s">
        <v>5</v>
      </c>
      <c r="B3" s="48"/>
      <c r="C3" s="48"/>
      <c r="D3" s="48"/>
      <c r="E3" s="49"/>
    </row>
    <row r="4" spans="1:5" ht="15.75" thickBot="1" x14ac:dyDescent="0.3">
      <c r="A4" s="50"/>
      <c r="B4" s="51"/>
      <c r="C4" s="51"/>
      <c r="D4" s="51"/>
      <c r="E4" s="52"/>
    </row>
    <row r="5" spans="1:5" ht="15.75" x14ac:dyDescent="0.25">
      <c r="A5" s="5" t="s">
        <v>6</v>
      </c>
      <c r="B5" s="6" t="s">
        <v>7</v>
      </c>
      <c r="C5" s="6" t="s">
        <v>8</v>
      </c>
      <c r="D5" s="7" t="s">
        <v>9</v>
      </c>
      <c r="E5" s="8" t="s">
        <v>4</v>
      </c>
    </row>
    <row r="6" spans="1:5" x14ac:dyDescent="0.25">
      <c r="A6" s="9" t="s">
        <v>41</v>
      </c>
      <c r="B6" s="10" t="s">
        <v>48</v>
      </c>
      <c r="C6" s="4" t="s">
        <v>88</v>
      </c>
      <c r="D6" s="4" t="s">
        <v>155</v>
      </c>
      <c r="E6" s="11" t="s">
        <v>127</v>
      </c>
    </row>
    <row r="7" spans="1:5" x14ac:dyDescent="0.25">
      <c r="A7" s="18" t="s">
        <v>126</v>
      </c>
      <c r="B7" s="10" t="s">
        <v>117</v>
      </c>
      <c r="C7" s="55" t="s">
        <v>152</v>
      </c>
      <c r="D7" s="12" t="s">
        <v>54</v>
      </c>
      <c r="E7" s="11" t="s">
        <v>128</v>
      </c>
    </row>
    <row r="8" spans="1:5" x14ac:dyDescent="0.25">
      <c r="A8" s="18"/>
      <c r="B8" s="10"/>
      <c r="C8" s="4"/>
      <c r="D8" s="12"/>
      <c r="E8" s="11"/>
    </row>
    <row r="9" spans="1:5" x14ac:dyDescent="0.25">
      <c r="A9" s="18"/>
      <c r="B9" s="10"/>
      <c r="C9" s="4"/>
      <c r="D9" s="12"/>
      <c r="E9" s="11"/>
    </row>
    <row r="10" spans="1:5" x14ac:dyDescent="0.25">
      <c r="A10" s="19"/>
      <c r="B10" s="10"/>
      <c r="C10" s="4"/>
      <c r="D10" s="12"/>
      <c r="E10" s="11"/>
    </row>
    <row r="11" spans="1:5" ht="15.75" thickBot="1" x14ac:dyDescent="0.3">
      <c r="A11" s="13"/>
      <c r="B11" s="14"/>
      <c r="C11" s="15"/>
      <c r="D11" s="16"/>
      <c r="E11" s="17"/>
    </row>
    <row r="14" spans="1:5" x14ac:dyDescent="0.25">
      <c r="A14" t="s">
        <v>130</v>
      </c>
    </row>
  </sheetData>
  <mergeCells count="1">
    <mergeCell ref="A3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Relacionamento</vt:lpstr>
      <vt:lpstr>EQUIPAMENTO</vt:lpstr>
      <vt:lpstr>ORDEM DE SEV.</vt:lpstr>
      <vt:lpstr>OCORRENCIA</vt:lpstr>
      <vt:lpstr>FUNCIONARIO</vt:lpstr>
      <vt:lpstr>GRUPO FUNCIONARIO</vt:lpstr>
      <vt:lpstr>NOTIFICACAO</vt:lpstr>
      <vt:lpstr>REGISTRO AUDITORIA</vt:lpstr>
      <vt:lpstr>PREDITIVA IA</vt:lpstr>
      <vt:lpstr>MODELO ORDEM SERVICO</vt:lpstr>
    </vt:vector>
  </TitlesOfParts>
  <Company>SENAI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SENAI Zerbini</cp:lastModifiedBy>
  <dcterms:created xsi:type="dcterms:W3CDTF">2019-09-02T11:39:17Z</dcterms:created>
  <dcterms:modified xsi:type="dcterms:W3CDTF">2025-06-17T00:49:52Z</dcterms:modified>
</cp:coreProperties>
</file>